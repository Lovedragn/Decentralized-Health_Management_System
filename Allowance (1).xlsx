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40ce99d033f165/Documents/"/>
    </mc:Choice>
  </mc:AlternateContent>
  <xr:revisionPtr revIDLastSave="103" documentId="8_{F9643906-8DF8-4BA5-8F2F-46D7A10EB8A5}" xr6:coauthVersionLast="47" xr6:coauthVersionMax="47" xr10:uidLastSave="{BBB0B019-0BDD-4505-A144-45E7ECFB4D22}"/>
  <bookViews>
    <workbookView xWindow="-108" yWindow="-108" windowWidth="23256" windowHeight="12456" xr2:uid="{835073DE-756A-4A24-8188-BFDB83D99DE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L2" i="1"/>
  <c r="L3" i="1"/>
  <c r="L4" i="1"/>
  <c r="L5" i="1"/>
  <c r="L7" i="1"/>
  <c r="L8" i="1"/>
  <c r="L9" i="1"/>
  <c r="L10" i="1"/>
  <c r="L11" i="1"/>
  <c r="L12" i="1"/>
  <c r="L13" i="1"/>
  <c r="L14" i="1"/>
  <c r="L15" i="1"/>
  <c r="L16" i="1"/>
  <c r="L17" i="1"/>
  <c r="L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</calcChain>
</file>

<file path=xl/sharedStrings.xml><?xml version="1.0" encoding="utf-8"?>
<sst xmlns="http://schemas.openxmlformats.org/spreadsheetml/2006/main" count="41" uniqueCount="27">
  <si>
    <t>Emp No.</t>
  </si>
  <si>
    <t>Branch</t>
  </si>
  <si>
    <t>Emp Name</t>
  </si>
  <si>
    <t>Experience</t>
  </si>
  <si>
    <t>Designation</t>
  </si>
  <si>
    <t>Cash</t>
  </si>
  <si>
    <t>Ol</t>
  </si>
  <si>
    <t>Puducherry</t>
  </si>
  <si>
    <t>sujith</t>
  </si>
  <si>
    <t>sappani</t>
  </si>
  <si>
    <t>sridevi</t>
  </si>
  <si>
    <t>sasi</t>
  </si>
  <si>
    <t>susan</t>
  </si>
  <si>
    <t>nick</t>
  </si>
  <si>
    <t>tisan</t>
  </si>
  <si>
    <t>tim</t>
  </si>
  <si>
    <t>jon</t>
  </si>
  <si>
    <t>harish</t>
  </si>
  <si>
    <t>gorgwe</t>
  </si>
  <si>
    <t>colle</t>
  </si>
  <si>
    <t>hores</t>
  </si>
  <si>
    <t>carol</t>
  </si>
  <si>
    <t>rena</t>
  </si>
  <si>
    <t>sundram</t>
  </si>
  <si>
    <t>Months</t>
  </si>
  <si>
    <t>Time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</si>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</sst>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5B1C-1D30-45F1-A86E-1C58EDF00488}">
  <dimension ref="A1:N17"/>
  <sheetViews>
    <sheetView tabSelected="1" workbookViewId="0">
      <selection activeCell="F2" sqref="F2"/>
    </sheetView>
  </sheetViews>
  <sheetFormatPr defaultRowHeight="18" x14ac:dyDescent="0.35"/>
  <cols>
    <col min="1" max="1" width="9.6640625" bestFit="1" customWidth="1"/>
    <col min="2" max="2" width="7.33203125" bestFit="1" customWidth="1"/>
    <col min="3" max="3" width="9.1640625" bestFit="1" customWidth="1"/>
    <col min="4" max="4" width="4.75" style="2" bestFit="1" customWidth="1"/>
    <col min="5" max="5" width="9.1640625" style="1" bestFit="1" customWidth="1"/>
    <col min="6" max="6" width="12" customWidth="1"/>
    <col min="7" max="7" width="5.6640625" bestFit="1" customWidth="1"/>
    <col min="8" max="8" width="9.58203125" bestFit="1" customWidth="1"/>
  </cols>
  <sheetData>
    <row r="1" spans="1:14" x14ac:dyDescent="0.35">
      <c r="A1" t="s">
        <v>1</v>
      </c>
      <c r="B1" t="s">
        <v>0</v>
      </c>
      <c r="C1" t="s">
        <v>2</v>
      </c>
      <c r="D1" s="2" t="s">
        <v>25</v>
      </c>
      <c r="E1" s="1" t="s">
        <v>3</v>
      </c>
      <c r="F1" t="s">
        <v>4</v>
      </c>
    </row>
    <row r="2" spans="1:14" x14ac:dyDescent="0.35">
      <c r="A2" t="s">
        <v>7</v>
      </c>
      <c r="B2">
        <v>1020</v>
      </c>
      <c r="C2" t="s">
        <v>8</v>
      </c>
      <c r="D2" s="2">
        <v>1</v>
      </c>
      <c r="E2" s="1" t="s">
        <v>24</v>
      </c>
      <c r="F2" t="e">
        <f>(IF((E2="Months")*AND(D2&lt;=11.9),"Cashier")*OR(IF((E2="Years")*AND(D2&lt;=2),"Senior")))*(OR((IF((E2="Years")*AND(D2&lt;=5,D2&gt;=2.1),"Experienced"))))*(OR((IF((E2="Years")*AND(D2&gt;5),"Profficional"))))</f>
        <v>#VALUE!</v>
      </c>
      <c r="K2" t="str">
        <f>IF((E2="Months")*AND(D2&lt;=11.9),"Cashier")</f>
        <v>Cashier</v>
      </c>
      <c r="L2" t="b">
        <f>IF((E2="Years")*AND(D2&lt;=2),"Senior")</f>
        <v>0</v>
      </c>
      <c r="M2" t="b">
        <f>IF((E2="Years")*AND(D2&lt;=5,D2&gt;=2.1),"Experienced")</f>
        <v>0</v>
      </c>
      <c r="N2" t="b">
        <f>IF((E2="Years")*AND(D2&gt;5),"Profficional")</f>
        <v>0</v>
      </c>
    </row>
    <row r="3" spans="1:14" x14ac:dyDescent="0.35">
      <c r="B3">
        <v>1021</v>
      </c>
      <c r="C3" t="s">
        <v>9</v>
      </c>
      <c r="D3" s="2">
        <v>5</v>
      </c>
      <c r="E3" s="1" t="s">
        <v>24</v>
      </c>
      <c r="F3" t="e">
        <f t="shared" ref="F3:F17" si="0">(IF((E3="Months")*AND(D3&lt;=11.9),"Cashier")*OR(IF((E3="Years")*AND(D3&lt;=2),"Senior")))*(OR((IF((E3="Years")*AND(D3&lt;=5,D3&gt;=2.1),"Experienced"))))*(OR((IF((E3="Years")*AND(D3&gt;5),"Profficional"))))</f>
        <v>#VALUE!</v>
      </c>
      <c r="K3" t="str">
        <f>IF((E3="Months")*AND(D3&lt;=11.9),"Cashier")</f>
        <v>Cashier</v>
      </c>
      <c r="L3" t="b">
        <f>IF((E3="Years")*AND(D3&lt;=2),"Senior")</f>
        <v>0</v>
      </c>
      <c r="M3" t="b">
        <f>IF((E3="Years")*AND(D3&lt;=5,D3&gt;=2.1),"Experienced")</f>
        <v>0</v>
      </c>
      <c r="N3" t="b">
        <f>IF((E3="Years")*AND(D3&gt;5),"Profficional")</f>
        <v>0</v>
      </c>
    </row>
    <row r="4" spans="1:14" x14ac:dyDescent="0.35">
      <c r="B4">
        <v>1022</v>
      </c>
      <c r="C4" t="s">
        <v>10</v>
      </c>
      <c r="D4" s="2">
        <v>11</v>
      </c>
      <c r="E4" s="1" t="s">
        <v>24</v>
      </c>
      <c r="F4" t="e">
        <f t="shared" si="0"/>
        <v>#VALUE!</v>
      </c>
      <c r="K4" t="str">
        <f>IF((E4="Months")*AND(D4&lt;=11.9),"Cashier")</f>
        <v>Cashier</v>
      </c>
      <c r="L4" t="b">
        <f>IF((E4="Years")*AND(D4&lt;=2),"Senior")</f>
        <v>0</v>
      </c>
      <c r="M4" t="b">
        <f>IF((E4="Years")*AND(D4&lt;=5,D4&gt;=2.1),"Experienced")</f>
        <v>0</v>
      </c>
      <c r="N4" t="b">
        <f>IF((E4="Years")*AND(D4&gt;5),"Profficional")</f>
        <v>0</v>
      </c>
    </row>
    <row r="5" spans="1:14" x14ac:dyDescent="0.35">
      <c r="B5">
        <v>1023</v>
      </c>
      <c r="C5" t="s">
        <v>11</v>
      </c>
      <c r="D5" s="2">
        <v>7</v>
      </c>
      <c r="E5" s="1" t="s">
        <v>24</v>
      </c>
      <c r="F5" t="e">
        <f t="shared" si="0"/>
        <v>#VALUE!</v>
      </c>
      <c r="K5" t="str">
        <f>IF((E5="Months")*AND(D5&lt;=11.9),"Cashier")</f>
        <v>Cashier</v>
      </c>
      <c r="L5" t="b">
        <f>IF((E5="Years")*AND(D5&lt;=2),"Senior")</f>
        <v>0</v>
      </c>
      <c r="M5" t="b">
        <f>IF((E5="Years")*AND(D5&lt;=5,D5&gt;=2.1),"Experienced")</f>
        <v>0</v>
      </c>
      <c r="N5" t="b">
        <f>IF((E5="Years")*AND(D5&gt;5),"Profficional")</f>
        <v>0</v>
      </c>
    </row>
    <row r="6" spans="1:14" x14ac:dyDescent="0.35">
      <c r="B6">
        <v>1024</v>
      </c>
      <c r="C6" t="s">
        <v>12</v>
      </c>
      <c r="D6" s="2">
        <v>2</v>
      </c>
      <c r="E6" s="1" t="s">
        <v>26</v>
      </c>
      <c r="F6" t="e">
        <f t="shared" si="0"/>
        <v>#VALUE!</v>
      </c>
      <c r="K6" t="b">
        <f>IF((E6="Months")*AND(D6&lt;=11.9),"Cashier")</f>
        <v>0</v>
      </c>
      <c r="L6" t="str">
        <f>IF((E6="Years")*AND(D6&lt;=2),"Senior")</f>
        <v>Senior</v>
      </c>
      <c r="M6" t="b">
        <f>IF((E6="Years")*AND(D6&lt;=5,D6&gt;=2.1),"Experienced")</f>
        <v>0</v>
      </c>
      <c r="N6" t="b">
        <f>IF((E6="Years")*AND(D6&gt;5),"Profficional")</f>
        <v>0</v>
      </c>
    </row>
    <row r="7" spans="1:14" x14ac:dyDescent="0.35">
      <c r="B7">
        <v>1025</v>
      </c>
      <c r="C7" t="s">
        <v>13</v>
      </c>
      <c r="D7" s="2">
        <v>2.4</v>
      </c>
      <c r="E7" s="1" t="s">
        <v>26</v>
      </c>
      <c r="F7" t="e">
        <f t="shared" si="0"/>
        <v>#VALUE!</v>
      </c>
      <c r="K7" t="b">
        <f>IF((E7="Months")*AND(D7&lt;=11.9),"Cashier")</f>
        <v>0</v>
      </c>
      <c r="L7" t="b">
        <f>IF((E7="Years")*AND(D7&lt;=2),"Senior")</f>
        <v>0</v>
      </c>
      <c r="M7" t="str">
        <f>IF((E7="Years")*AND(D7&lt;=5,D7&gt;=2.1),"Experienced")</f>
        <v>Experienced</v>
      </c>
      <c r="N7" t="b">
        <f>IF((E7="Years")*AND(D7&gt;5),"Profficional")</f>
        <v>0</v>
      </c>
    </row>
    <row r="8" spans="1:14" x14ac:dyDescent="0.35">
      <c r="B8">
        <v>1026</v>
      </c>
      <c r="C8" t="s">
        <v>14</v>
      </c>
      <c r="D8" s="2">
        <v>1.8</v>
      </c>
      <c r="E8" s="1" t="s">
        <v>26</v>
      </c>
      <c r="F8" t="e">
        <f t="shared" si="0"/>
        <v>#VALUE!</v>
      </c>
      <c r="K8" t="b">
        <f>IF((E8="Months")*AND(D8&lt;=11.9),"Cashier")</f>
        <v>0</v>
      </c>
      <c r="L8" t="str">
        <f>IF((E8="Years")*AND(D8&lt;=2),"Senior")</f>
        <v>Senior</v>
      </c>
      <c r="M8" t="b">
        <f>IF((E8="Years")*AND(D8&lt;=5,D8&gt;=2.1),"Experienced")</f>
        <v>0</v>
      </c>
      <c r="N8" t="b">
        <f>IF((E8="Years")*AND(D8&gt;5),"Profficional")</f>
        <v>0</v>
      </c>
    </row>
    <row r="9" spans="1:14" x14ac:dyDescent="0.35">
      <c r="B9">
        <v>1027</v>
      </c>
      <c r="C9" t="s">
        <v>15</v>
      </c>
      <c r="D9" s="2">
        <v>5.9</v>
      </c>
      <c r="E9" s="1" t="s">
        <v>26</v>
      </c>
      <c r="F9" t="e">
        <f t="shared" si="0"/>
        <v>#VALUE!</v>
      </c>
      <c r="K9" t="b">
        <f>IF((E9="Months")*AND(D9&lt;=11.9),"Cashier")</f>
        <v>0</v>
      </c>
      <c r="L9" t="b">
        <f>IF((E9="Years")*AND(D9&lt;=2),"Senior")</f>
        <v>0</v>
      </c>
      <c r="M9" t="b">
        <f>IF((E9="Years")*AND(D9&lt;=5,D9&gt;=2.1),"Experienced")</f>
        <v>0</v>
      </c>
      <c r="N9" t="str">
        <f>IF((E9="Years")*AND(D9&gt;5),"Profficional")</f>
        <v>Profficional</v>
      </c>
    </row>
    <row r="10" spans="1:14" x14ac:dyDescent="0.35">
      <c r="B10">
        <v>1028</v>
      </c>
      <c r="C10" t="s">
        <v>16</v>
      </c>
      <c r="D10" s="2">
        <v>2.9</v>
      </c>
      <c r="E10" s="1" t="s">
        <v>26</v>
      </c>
      <c r="F10" t="e">
        <f t="shared" si="0"/>
        <v>#VALUE!</v>
      </c>
      <c r="K10" t="b">
        <f>IF((E10="Months")*AND(D10&lt;=11.9),"Cashier")</f>
        <v>0</v>
      </c>
      <c r="L10" t="b">
        <f>IF((E10="Years")*AND(D10&lt;=2),"Senior")</f>
        <v>0</v>
      </c>
      <c r="M10" t="str">
        <f>IF((E10="Years")*AND(D10&lt;=5,D10&gt;=2.1),"Experienced")</f>
        <v>Experienced</v>
      </c>
      <c r="N10" t="b">
        <f>IF((E10="Years")*AND(D10&gt;5),"Profficional")</f>
        <v>0</v>
      </c>
    </row>
    <row r="11" spans="1:14" x14ac:dyDescent="0.35">
      <c r="B11">
        <v>1029</v>
      </c>
      <c r="C11" t="s">
        <v>17</v>
      </c>
      <c r="D11" s="2">
        <v>7.2</v>
      </c>
      <c r="E11" s="1" t="s">
        <v>26</v>
      </c>
      <c r="F11" t="e">
        <f t="shared" si="0"/>
        <v>#VALUE!</v>
      </c>
      <c r="K11" t="b">
        <f>IF((E11="Months")*AND(D11&lt;=11.9),"Cashier")</f>
        <v>0</v>
      </c>
      <c r="L11" t="b">
        <f>IF((E11="Years")*AND(D11&lt;=2),"Senior")</f>
        <v>0</v>
      </c>
      <c r="M11" t="b">
        <f>IF((E11="Years")*AND(D11&lt;=5,D11&gt;=2.1),"Experienced")</f>
        <v>0</v>
      </c>
      <c r="N11" t="str">
        <f>IF((E11="Years")*AND(D11&gt;5),"Profficional")</f>
        <v>Profficional</v>
      </c>
    </row>
    <row r="12" spans="1:14" x14ac:dyDescent="0.35">
      <c r="B12">
        <v>1030</v>
      </c>
      <c r="C12" t="s">
        <v>18</v>
      </c>
      <c r="D12" s="2">
        <v>7.7</v>
      </c>
      <c r="E12" s="1" t="s">
        <v>26</v>
      </c>
      <c r="F12" t="e">
        <f t="shared" si="0"/>
        <v>#VALUE!</v>
      </c>
      <c r="K12" t="b">
        <f>IF((E12="Months")*AND(D12&lt;=11.9),"Cashier")</f>
        <v>0</v>
      </c>
      <c r="L12" t="b">
        <f>IF((E12="Years")*AND(D12&lt;=2),"Senior")</f>
        <v>0</v>
      </c>
      <c r="M12" t="b">
        <f>IF((E12="Years")*AND(D12&lt;=5,D12&gt;=2.1),"Experienced")</f>
        <v>0</v>
      </c>
      <c r="N12" t="str">
        <f>IF((E12="Years")*AND(D12&gt;5),"Profficional")</f>
        <v>Profficional</v>
      </c>
    </row>
    <row r="13" spans="1:14" x14ac:dyDescent="0.35">
      <c r="B13">
        <v>1031</v>
      </c>
      <c r="C13" t="s">
        <v>19</v>
      </c>
      <c r="D13" s="2">
        <v>9.1</v>
      </c>
      <c r="E13" s="1" t="s">
        <v>26</v>
      </c>
      <c r="F13" t="e">
        <f t="shared" si="0"/>
        <v>#VALUE!</v>
      </c>
      <c r="K13" t="b">
        <f>IF((E13="Months")*AND(D13&lt;=11.9),"Cashier")</f>
        <v>0</v>
      </c>
      <c r="L13" t="b">
        <f>IF((E13="Years")*AND(D13&lt;=2),"Senior")</f>
        <v>0</v>
      </c>
      <c r="M13" t="b">
        <f>IF((E13="Years")*AND(D13&lt;=5,D13&gt;=2.1),"Experienced")</f>
        <v>0</v>
      </c>
      <c r="N13" t="str">
        <f>IF((E13="Years")*AND(D13&gt;5),"Profficional")</f>
        <v>Profficional</v>
      </c>
    </row>
    <row r="14" spans="1:14" x14ac:dyDescent="0.35">
      <c r="B14">
        <v>1032</v>
      </c>
      <c r="C14" t="s">
        <v>20</v>
      </c>
      <c r="D14" s="2">
        <v>12.1</v>
      </c>
      <c r="E14" s="1" t="s">
        <v>26</v>
      </c>
      <c r="F14" t="e">
        <f t="shared" si="0"/>
        <v>#VALUE!</v>
      </c>
      <c r="K14" t="b">
        <f>IF((E14="Months")*AND(D14&lt;=11.9),"Cashier")</f>
        <v>0</v>
      </c>
      <c r="L14" t="b">
        <f>IF((E14="Years")*AND(D14&lt;=2),"Senior")</f>
        <v>0</v>
      </c>
      <c r="M14" t="b">
        <f>IF((E14="Years")*AND(D14&lt;=5,D14&gt;=2.1),"Experienced")</f>
        <v>0</v>
      </c>
      <c r="N14" t="str">
        <f>IF((E14="Years")*AND(D14&gt;5),"Profficional")</f>
        <v>Profficional</v>
      </c>
    </row>
    <row r="15" spans="1:14" x14ac:dyDescent="0.35">
      <c r="B15">
        <v>1033</v>
      </c>
      <c r="C15" t="s">
        <v>21</v>
      </c>
      <c r="D15" s="2">
        <v>12</v>
      </c>
      <c r="E15" s="1" t="s">
        <v>26</v>
      </c>
      <c r="F15" t="e">
        <f t="shared" si="0"/>
        <v>#VALUE!</v>
      </c>
      <c r="K15" t="b">
        <f>IF((E15="Months")*AND(D15&lt;=11.9),"Cashier")</f>
        <v>0</v>
      </c>
      <c r="L15" t="b">
        <f>IF((E15="Years")*AND(D15&lt;=2),"Senior")</f>
        <v>0</v>
      </c>
      <c r="M15" t="b">
        <f>IF((E15="Years")*AND(D15&lt;=5,D15&gt;=2.1),"Experienced")</f>
        <v>0</v>
      </c>
      <c r="N15" t="str">
        <f>IF((E15="Years")*AND(D15&gt;5),"Profficional")</f>
        <v>Profficional</v>
      </c>
    </row>
    <row r="16" spans="1:14" x14ac:dyDescent="0.35">
      <c r="B16">
        <v>1034</v>
      </c>
      <c r="C16" t="s">
        <v>22</v>
      </c>
      <c r="D16" s="2">
        <v>1.7</v>
      </c>
      <c r="E16" s="1" t="s">
        <v>26</v>
      </c>
      <c r="F16" t="e">
        <f t="shared" si="0"/>
        <v>#VALUE!</v>
      </c>
      <c r="K16" t="b">
        <f>IF((E16="Months")*AND(D16&lt;=11.9),"Cashier")</f>
        <v>0</v>
      </c>
      <c r="L16" t="str">
        <f>IF((E16="Years")*AND(D16&lt;=2),"Senior")</f>
        <v>Senior</v>
      </c>
      <c r="M16" t="b">
        <f>IF((E16="Years")*AND(D16&lt;=5,D16&gt;=2.1),"Experienced")</f>
        <v>0</v>
      </c>
      <c r="N16" t="b">
        <f>IF((E16="Years")*AND(D16&gt;5),"Profficional")</f>
        <v>0</v>
      </c>
    </row>
    <row r="17" spans="2:14" x14ac:dyDescent="0.35">
      <c r="B17">
        <v>1035</v>
      </c>
      <c r="C17" t="s">
        <v>23</v>
      </c>
      <c r="D17" s="2">
        <v>9</v>
      </c>
      <c r="E17" s="1" t="s">
        <v>24</v>
      </c>
      <c r="F17" t="e">
        <f t="shared" si="0"/>
        <v>#VALUE!</v>
      </c>
      <c r="K17" t="str">
        <f>IF((E17="Months")*AND(D17&lt;=11.9),"Cashier")</f>
        <v>Cashier</v>
      </c>
      <c r="L17" t="b">
        <f>IF((E17="Years")*AND(D17&lt;=2),"Senior")</f>
        <v>0</v>
      </c>
      <c r="M17" t="b">
        <f>IF((E17="Years")*AND(D17&lt;=5,D17&gt;=2.1),"Experienced")</f>
        <v>0</v>
      </c>
      <c r="N17" t="b">
        <f>IF((E17="Years")*AND(D17&gt;5),"Profficional")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4741-7031-4D7A-BC4B-94245868AC2D}">
  <dimension ref="A1:A2"/>
  <sheetViews>
    <sheetView workbookViewId="0">
      <selection activeCell="C4" activeCellId="1" sqref="A1 C4"/>
    </sheetView>
  </sheetViews>
  <sheetFormatPr defaultRowHeight="18" x14ac:dyDescent="0.35"/>
  <sheetData>
    <row r="1" spans="1:1" x14ac:dyDescent="0.35">
      <c r="A1" t="s">
        <v>5</v>
      </c>
    </row>
    <row r="2" spans="1:1" x14ac:dyDescent="0.35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S</dc:creator>
  <cp:lastModifiedBy>Sujith Sss</cp:lastModifiedBy>
  <dcterms:created xsi:type="dcterms:W3CDTF">2022-10-06T17:05:55Z</dcterms:created>
  <dcterms:modified xsi:type="dcterms:W3CDTF">2022-10-07T06:04:15Z</dcterms:modified>
</cp:coreProperties>
</file>